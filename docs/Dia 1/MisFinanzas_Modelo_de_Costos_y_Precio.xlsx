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0\Desktop\Carlos\Proyectos\MisFinanzas\Dia 1\"/>
    </mc:Choice>
  </mc:AlternateContent>
  <xr:revisionPtr revIDLastSave="0" documentId="13_ncr:1_{E3232DEE-07A3-40AC-92BE-6DE62206C27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puestos" sheetId="1" r:id="rId1"/>
    <sheet name="Escenarios de rentabilida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2" l="1"/>
  <c r="C8" i="2"/>
  <c r="D8" i="2" s="1"/>
  <c r="J8" i="2" s="1"/>
  <c r="E7" i="2"/>
  <c r="C7" i="2"/>
  <c r="D7" i="2" s="1"/>
  <c r="J7" i="2" s="1"/>
  <c r="E6" i="2"/>
  <c r="C6" i="2"/>
  <c r="D6" i="2" s="1"/>
  <c r="J6" i="2" s="1"/>
  <c r="E5" i="2"/>
  <c r="F5" i="2" s="1"/>
  <c r="I5" i="2" s="1"/>
  <c r="C5" i="2"/>
  <c r="D5" i="2" s="1"/>
  <c r="J5" i="2" s="1"/>
  <c r="G6" i="2" l="1"/>
  <c r="H6" i="2" s="1"/>
  <c r="K6" i="2" s="1"/>
  <c r="L6" i="2" s="1"/>
  <c r="G5" i="2"/>
  <c r="H5" i="2" s="1"/>
  <c r="K5" i="2" s="1"/>
  <c r="L5" i="2" s="1"/>
  <c r="F8" i="2"/>
  <c r="I8" i="2" s="1"/>
  <c r="G8" i="2"/>
  <c r="H8" i="2" s="1"/>
  <c r="K8" i="2" s="1"/>
  <c r="L8" i="2" s="1"/>
  <c r="F7" i="2"/>
  <c r="I7" i="2" s="1"/>
  <c r="G7" i="2"/>
  <c r="H7" i="2" s="1"/>
  <c r="K7" i="2" s="1"/>
  <c r="L7" i="2" s="1"/>
  <c r="F6" i="2"/>
  <c r="I6" i="2" s="1"/>
</calcChain>
</file>

<file path=xl/sharedStrings.xml><?xml version="1.0" encoding="utf-8"?>
<sst xmlns="http://schemas.openxmlformats.org/spreadsheetml/2006/main" count="49" uniqueCount="49">
  <si>
    <t>MisFinanzas — Supuestos de costos y precio</t>
  </si>
  <si>
    <t>Etapa 0, Día 1 · Celdas azules con fondo amarillo = editables. El resto se recalcula solo.</t>
  </si>
  <si>
    <t>Supuesto</t>
  </si>
  <si>
    <t>Valor</t>
  </si>
  <si>
    <t>Fuente / nota</t>
  </si>
  <si>
    <t>Precio mensual Premium (CLP)</t>
  </si>
  <si>
    <t>EDITAR: precio a validar en la Etapa 0, Días 2-3 (encuesta a 8-10 personas).</t>
  </si>
  <si>
    <t>Tipo de cambio USD/CLP</t>
  </si>
  <si>
    <t>Referencial, mercado interbancario, agosto 2026. Fluctúa — ajustar antes de decisiones grandes.</t>
  </si>
  <si>
    <t>% comisión de tienda (Apple/Google)</t>
  </si>
  <si>
    <t>Con el Programa para Pequeñas Empresas (Apple) y el tramo &lt;US$1M/año (Google), ambos bajan la comisión de 30% a 15%. Requiere inscripción explícita en cada tienda, no es automático.</t>
  </si>
  <si>
    <t>Costo anual Apple Developer Program (USD)</t>
  </si>
  <si>
    <t>Cifra oficial de Apple, 2026.</t>
  </si>
  <si>
    <t>Costo único Google Play Console (USD)</t>
  </si>
  <si>
    <t>Pago único, sin renovación. Cifra oficial de Google, 2026.</t>
  </si>
  <si>
    <t>Límite gratuito Supabase (MAU)</t>
  </si>
  <si>
    <t>Plan gratuito: hasta 50.000 usuarios activos mensuales, 500 MB de base de datos, 1 GB de almacenamiento. El límite de almacenamiento puede llegar antes que el de MAU — revisar aparte.</t>
  </si>
  <si>
    <t>Costo mensual Supabase Pro si se supera (USD)</t>
  </si>
  <si>
    <t>Plan Pro, 2026. Incluye crédito de cómputo; uso adicional se cobra aparte.</t>
  </si>
  <si>
    <t>Límite gratuito RevenueCat (MTR mensual, USD)</t>
  </si>
  <si>
    <t>Ingreso mensual rastreado (bruto, antes de comisión de tienda). Gratis hasta este monto.</t>
  </si>
  <si>
    <t>% RevenueCat sobre el MTR al superar el límite</t>
  </si>
  <si>
    <t>1% del MTR total una vez superado el umbral. Verificar en revenuecat.com/pricing antes de comprometerse — cambia con frecuencia.</t>
  </si>
  <si>
    <t>% de usuarios activos que se hacen Premium</t>
  </si>
  <si>
    <t>Supuesto de conversión inicial — ajustar con datos reales después de la Etapa 2 (validación externa).</t>
  </si>
  <si>
    <t>Leyenda</t>
  </si>
  <si>
    <t>Azul + amarillo = celda para editar</t>
  </si>
  <si>
    <t>Negro = fórmula (no editar)</t>
  </si>
  <si>
    <t>Verde = referencia directa a otra pestaña</t>
  </si>
  <si>
    <t>MisFinanzas — Escenarios de rentabilidad mensual</t>
  </si>
  <si>
    <t>Cambia 'Usuarios Premium' o el precio en Supuestos y todo se recalcula. La fila 'Tu escenario' es libre para probar tus propios números.</t>
  </si>
  <si>
    <t>Escenario</t>
  </si>
  <si>
    <t>Usuarios
Premium</t>
  </si>
  <si>
    <t>% conversión
(Supuestos)</t>
  </si>
  <si>
    <t>Usuarios activos
totales (estim.)</t>
  </si>
  <si>
    <t>Ingreso bruto
mensual (CLP)</t>
  </si>
  <si>
    <t>Ingreso bruto
mensual (USD)</t>
  </si>
  <si>
    <t>Comisión tienda
15% (CLP)</t>
  </si>
  <si>
    <t>Ingreso neto
de tienda (CLP)</t>
  </si>
  <si>
    <t>Costo RevenueCat
mensual (USD)</t>
  </si>
  <si>
    <t>Costo Supabase
mensual (USD)</t>
  </si>
  <si>
    <t>Utilidad
mensual (CLP)</t>
  </si>
  <si>
    <t>Utilidad
anual (CLP)</t>
  </si>
  <si>
    <t>Conservador</t>
  </si>
  <si>
    <t>Intermedio</t>
  </si>
  <si>
    <t>Optimista</t>
  </si>
  <si>
    <t>Tu escenario</t>
  </si>
  <si>
    <t>Nota</t>
  </si>
  <si>
    <t>La utilidad mensual resta comisión de tienda, RevenueCat, Supabase y el prorrateo mensual de las cuentas developer (Apple US$99/año + Google US$25 pago único, este último solo pesa el primer año). No incluye tu propio tiempo ni costos de marketing, que hoy son US$0 pero no serán US$0 para siempre.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</si>
</sst>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8A6A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A6A5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"/>
  <sheetViews>
    <sheetView topLeftCell="A7" zoomScaleNormal="100" workbookViewId="0">
      <selection activeCell="C12" sqref="C12"/>
    </sheetView>
  </sheetViews>
  <sheetFormatPr baseColWidth="10" defaultColWidth="8.6640625" defaultRowHeight="14.4" x14ac:dyDescent="0.3"/>
  <cols>
    <col min="1" max="1" width="46.44140625" customWidth="1"/>
    <col min="2" max="2" width="7.109375" bestFit="1" customWidth="1"/>
    <col min="3" max="3" width="89.5546875" bestFit="1" customWidth="1"/>
  </cols>
  <sheetData>
    <row r="1" spans="1:3" ht="17.25" customHeight="1" x14ac:dyDescent="0.3">
      <c r="A1" s="1" t="s">
        <v>0</v>
      </c>
    </row>
    <row r="2" spans="1:3" ht="15" customHeight="1" x14ac:dyDescent="0.3">
      <c r="A2" s="2" t="s">
        <v>1</v>
      </c>
    </row>
    <row r="4" spans="1:3" ht="18" customHeight="1" x14ac:dyDescent="0.3">
      <c r="A4" s="3" t="s">
        <v>2</v>
      </c>
      <c r="B4" s="3" t="s">
        <v>3</v>
      </c>
      <c r="C4" s="3" t="s">
        <v>4</v>
      </c>
    </row>
    <row r="5" spans="1:3" ht="31.5" customHeight="1" x14ac:dyDescent="0.3">
      <c r="A5" s="4" t="s">
        <v>5</v>
      </c>
      <c r="B5" s="5">
        <v>3990</v>
      </c>
      <c r="C5" s="6" t="s">
        <v>6</v>
      </c>
    </row>
    <row r="6" spans="1:3" ht="31.5" customHeight="1" x14ac:dyDescent="0.3">
      <c r="A6" s="4" t="s">
        <v>7</v>
      </c>
      <c r="B6" s="7">
        <v>930</v>
      </c>
      <c r="C6" s="6" t="s">
        <v>8</v>
      </c>
    </row>
    <row r="7" spans="1:3" ht="31.5" customHeight="1" x14ac:dyDescent="0.3">
      <c r="A7" s="4" t="s">
        <v>9</v>
      </c>
      <c r="B7" s="8">
        <v>0.15</v>
      </c>
      <c r="C7" s="6" t="s">
        <v>10</v>
      </c>
    </row>
    <row r="8" spans="1:3" ht="31.5" customHeight="1" x14ac:dyDescent="0.3">
      <c r="A8" s="4" t="s">
        <v>11</v>
      </c>
      <c r="B8" s="5">
        <v>99</v>
      </c>
      <c r="C8" s="6" t="s">
        <v>12</v>
      </c>
    </row>
    <row r="9" spans="1:3" ht="31.5" customHeight="1" x14ac:dyDescent="0.3">
      <c r="A9" s="4" t="s">
        <v>13</v>
      </c>
      <c r="B9" s="5">
        <v>25</v>
      </c>
      <c r="C9" s="6" t="s">
        <v>14</v>
      </c>
    </row>
    <row r="10" spans="1:3" ht="31.5" customHeight="1" x14ac:dyDescent="0.3">
      <c r="A10" s="4" t="s">
        <v>15</v>
      </c>
      <c r="B10" s="7">
        <v>50000</v>
      </c>
      <c r="C10" s="6" t="s">
        <v>16</v>
      </c>
    </row>
    <row r="11" spans="1:3" ht="31.5" customHeight="1" x14ac:dyDescent="0.3">
      <c r="A11" s="4" t="s">
        <v>17</v>
      </c>
      <c r="B11" s="5">
        <v>25</v>
      </c>
      <c r="C11" s="6" t="s">
        <v>18</v>
      </c>
    </row>
    <row r="12" spans="1:3" ht="31.5" customHeight="1" x14ac:dyDescent="0.3">
      <c r="A12" s="4" t="s">
        <v>19</v>
      </c>
      <c r="B12" s="5">
        <v>2500</v>
      </c>
      <c r="C12" s="6" t="s">
        <v>20</v>
      </c>
    </row>
    <row r="13" spans="1:3" ht="31.5" customHeight="1" x14ac:dyDescent="0.3">
      <c r="A13" s="4" t="s">
        <v>21</v>
      </c>
      <c r="B13" s="8">
        <v>0.01</v>
      </c>
      <c r="C13" s="6" t="s">
        <v>22</v>
      </c>
    </row>
    <row r="14" spans="1:3" ht="31.5" customHeight="1" x14ac:dyDescent="0.3">
      <c r="A14" s="4" t="s">
        <v>23</v>
      </c>
      <c r="B14" s="8">
        <v>0.05</v>
      </c>
      <c r="C14" s="6" t="s">
        <v>24</v>
      </c>
    </row>
    <row r="16" spans="1:3" ht="15" customHeight="1" x14ac:dyDescent="0.3">
      <c r="A16" s="9" t="s">
        <v>25</v>
      </c>
    </row>
    <row r="17" spans="1:1" ht="15" customHeight="1" x14ac:dyDescent="0.3">
      <c r="A17" s="10" t="s">
        <v>26</v>
      </c>
    </row>
    <row r="18" spans="1:1" ht="15" customHeight="1" x14ac:dyDescent="0.3">
      <c r="A18" s="11" t="s">
        <v>27</v>
      </c>
    </row>
    <row r="19" spans="1:1" ht="15" customHeight="1" x14ac:dyDescent="0.3">
      <c r="A19" s="12" t="s">
        <v>28</v>
      </c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"/>
  <sheetViews>
    <sheetView tabSelected="1" zoomScaleNormal="100" workbookViewId="0">
      <selection activeCell="B9" sqref="B9"/>
    </sheetView>
  </sheetViews>
  <sheetFormatPr baseColWidth="10" defaultColWidth="8.6640625" defaultRowHeight="14.4" x14ac:dyDescent="0.3"/>
  <cols>
    <col min="1" max="1" width="16" customWidth="1"/>
    <col min="2" max="2" width="9.88671875" bestFit="1" customWidth="1"/>
    <col min="3" max="3" width="14.77734375" customWidth="1"/>
    <col min="4" max="4" width="17.5546875" customWidth="1"/>
    <col min="5" max="5" width="15" customWidth="1"/>
    <col min="6" max="6" width="14" bestFit="1" customWidth="1"/>
    <col min="7" max="7" width="11" bestFit="1" customWidth="1"/>
    <col min="8" max="8" width="13.21875" bestFit="1" customWidth="1"/>
    <col min="9" max="9" width="13" bestFit="1" customWidth="1"/>
    <col min="10" max="10" width="10.5546875" customWidth="1"/>
    <col min="11" max="11" width="11" bestFit="1" customWidth="1"/>
    <col min="12" max="12" width="12.109375" bestFit="1" customWidth="1"/>
  </cols>
  <sheetData>
    <row r="1" spans="1:12" ht="17.25" customHeight="1" x14ac:dyDescent="0.3">
      <c r="A1" s="1" t="s">
        <v>29</v>
      </c>
    </row>
    <row r="2" spans="1:12" ht="15" customHeight="1" x14ac:dyDescent="0.3">
      <c r="A2" s="2" t="s">
        <v>30</v>
      </c>
    </row>
    <row r="4" spans="1:12" ht="55.2" x14ac:dyDescent="0.3">
      <c r="A4" s="13" t="s">
        <v>31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  <c r="H4" s="13" t="s">
        <v>38</v>
      </c>
      <c r="I4" s="13" t="s">
        <v>39</v>
      </c>
      <c r="J4" s="13" t="s">
        <v>40</v>
      </c>
      <c r="K4" s="13" t="s">
        <v>41</v>
      </c>
      <c r="L4" s="13" t="s">
        <v>42</v>
      </c>
    </row>
    <row r="5" spans="1:12" ht="19.5" customHeight="1" x14ac:dyDescent="0.3">
      <c r="A5" s="14" t="s">
        <v>43</v>
      </c>
      <c r="B5" s="7">
        <v>50</v>
      </c>
      <c r="C5" s="15">
        <f>Supuestos!$B$14</f>
        <v>0.05</v>
      </c>
      <c r="D5" s="16">
        <f>IFERROR(B5/C5,0)</f>
        <v>1000</v>
      </c>
      <c r="E5" s="17">
        <f>B5*Supuestos!$B$5</f>
        <v>199500</v>
      </c>
      <c r="F5" s="17">
        <f>E5/Supuestos!$B$6</f>
        <v>214.51612903225808</v>
      </c>
      <c r="G5" s="17">
        <f>E5*Supuestos!$B$7</f>
        <v>29925</v>
      </c>
      <c r="H5" s="17">
        <f>E5-G5</f>
        <v>169575</v>
      </c>
      <c r="I5" s="18">
        <f>IF(F5&gt;Supuestos!$B$12,F5*Supuestos!$B$13,0)</f>
        <v>0</v>
      </c>
      <c r="J5" s="18">
        <f>IF(D5&gt;Supuestos!$B$10,Supuestos!$B$11,0)</f>
        <v>0</v>
      </c>
      <c r="K5" s="17">
        <f>H5-(I5+J5+Supuestos!$B$8/12+Supuestos!$B$9/12)*Supuestos!$B$6</f>
        <v>159965</v>
      </c>
      <c r="L5" s="17">
        <f>K5*12</f>
        <v>1919580</v>
      </c>
    </row>
    <row r="6" spans="1:12" ht="19.5" customHeight="1" x14ac:dyDescent="0.3">
      <c r="A6" s="14" t="s">
        <v>44</v>
      </c>
      <c r="B6" s="7">
        <v>200</v>
      </c>
      <c r="C6" s="15">
        <f>Supuestos!$B$14</f>
        <v>0.05</v>
      </c>
      <c r="D6" s="16">
        <f>IFERROR(B6/C6,0)</f>
        <v>4000</v>
      </c>
      <c r="E6" s="17">
        <f>B6*Supuestos!$B$5</f>
        <v>798000</v>
      </c>
      <c r="F6" s="17">
        <f>E6/Supuestos!$B$6</f>
        <v>858.06451612903231</v>
      </c>
      <c r="G6" s="17">
        <f>E6*Supuestos!$B$7</f>
        <v>119700</v>
      </c>
      <c r="H6" s="17">
        <f>E6-G6</f>
        <v>678300</v>
      </c>
      <c r="I6" s="18">
        <f>IF(F6&gt;Supuestos!$B$12,F6*Supuestos!$B$13,0)</f>
        <v>0</v>
      </c>
      <c r="J6" s="18">
        <f>IF(D6&gt;Supuestos!$B$10,Supuestos!$B$11,0)</f>
        <v>0</v>
      </c>
      <c r="K6" s="17">
        <f>H6-(I6+J6+Supuestos!$B$8/12+Supuestos!$B$9/12)*Supuestos!$B$6</f>
        <v>668690</v>
      </c>
      <c r="L6" s="17">
        <f>K6*12</f>
        <v>8024280</v>
      </c>
    </row>
    <row r="7" spans="1:12" ht="19.5" customHeight="1" x14ac:dyDescent="0.3">
      <c r="A7" s="14" t="s">
        <v>45</v>
      </c>
      <c r="B7" s="7">
        <v>500</v>
      </c>
      <c r="C7" s="15">
        <f>Supuestos!$B$14</f>
        <v>0.05</v>
      </c>
      <c r="D7" s="16">
        <f>IFERROR(B7/C7,0)</f>
        <v>10000</v>
      </c>
      <c r="E7" s="17">
        <f>B7*Supuestos!$B$5</f>
        <v>1995000</v>
      </c>
      <c r="F7" s="17">
        <f>E7/Supuestos!$B$6</f>
        <v>2145.1612903225805</v>
      </c>
      <c r="G7" s="17">
        <f>E7*Supuestos!$B$7</f>
        <v>299250</v>
      </c>
      <c r="H7" s="17">
        <f>E7-G7</f>
        <v>1695750</v>
      </c>
      <c r="I7" s="18">
        <f>IF(F7&gt;Supuestos!$B$12,F7*Supuestos!$B$13,0)</f>
        <v>0</v>
      </c>
      <c r="J7" s="18">
        <f>IF(D7&gt;Supuestos!$B$10,Supuestos!$B$11,0)</f>
        <v>0</v>
      </c>
      <c r="K7" s="17">
        <f>H7-(I7+J7+Supuestos!$B$8/12+Supuestos!$B$9/12)*Supuestos!$B$6</f>
        <v>1686140</v>
      </c>
      <c r="L7" s="17">
        <f>K7*12</f>
        <v>20233680</v>
      </c>
    </row>
    <row r="8" spans="1:12" ht="19.5" customHeight="1" x14ac:dyDescent="0.3">
      <c r="A8" s="14" t="s">
        <v>46</v>
      </c>
      <c r="B8" s="7">
        <v>10</v>
      </c>
      <c r="C8" s="15">
        <f>Supuestos!$B$14</f>
        <v>0.05</v>
      </c>
      <c r="D8" s="16">
        <f>IFERROR(B8/C8,0)</f>
        <v>200</v>
      </c>
      <c r="E8" s="17">
        <f>B8*Supuestos!$B$5</f>
        <v>39900</v>
      </c>
      <c r="F8" s="17">
        <f>E8/Supuestos!$B$6</f>
        <v>42.903225806451616</v>
      </c>
      <c r="G8" s="17">
        <f>E8*Supuestos!$B$7</f>
        <v>5985</v>
      </c>
      <c r="H8" s="17">
        <f>E8-G8</f>
        <v>33915</v>
      </c>
      <c r="I8" s="18">
        <f>IF(F8&gt;Supuestos!$B$12,F8*Supuestos!$B$13,0)</f>
        <v>0</v>
      </c>
      <c r="J8" s="18">
        <f>IF(D8&gt;Supuestos!$B$10,Supuestos!$B$11,0)</f>
        <v>0</v>
      </c>
      <c r="K8" s="17">
        <f>H8-(I8+J8+Supuestos!$B$8/12+Supuestos!$B$9/12)*Supuestos!$B$6</f>
        <v>24305</v>
      </c>
      <c r="L8" s="17">
        <f>K8*12</f>
        <v>291660</v>
      </c>
    </row>
    <row r="10" spans="1:12" ht="15" customHeight="1" x14ac:dyDescent="0.3">
      <c r="A10" s="9" t="s">
        <v>47</v>
      </c>
    </row>
    <row r="11" spans="1:12" ht="60" customHeight="1" x14ac:dyDescent="0.3">
      <c r="A11" s="19" t="s">
        <v>48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15" customHeight="1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15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">
    <mergeCell ref="A11:L13"/>
  </mergeCells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Supuestos</vt:lpstr>
      <vt:lpstr>Escenarios de 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Humberto Alvarez Navarrete</cp:lastModifiedBy>
  <cp:revision>0</cp:revision>
  <dcterms:created xsi:type="dcterms:W3CDTF">2026-08-26T15:47:24Z</dcterms:created>
  <dcterms:modified xsi:type="dcterms:W3CDTF">2026-08-26T20:41:23Z</dcterms:modified>
  <dc:language>en-US</dc:language>
</cp:coreProperties>
</file>